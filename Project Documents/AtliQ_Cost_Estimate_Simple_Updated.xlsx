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emo" sheetId="1" state="visible" r:id="rId1"/>
    <sheet name="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,##0;\(#,##0\);&quot;-&quot;"/>
    <numFmt numFmtId="165" formatCode="0.0"/>
    <numFmt numFmtId="166" formatCode="\$0.000"/>
    <numFmt numFmtId="167" formatCode="\$#,##0.0000;\(\$#,##0.0000\);&quot;-&quot;"/>
    <numFmt numFmtId="168" formatCode="\$#,##0.00;\(\$#,##0.00\);&quot;-&quot;"/>
    <numFmt numFmtId="169" formatCode="#,##0.0;[Red]\(#,##0.0\);\-"/>
    <numFmt numFmtId="170" formatCode="\$#,##0.00;[Red]\(\$#,##0.00\);\-"/>
    <numFmt numFmtId="171" formatCode="\$#,##0.000000;[Red]\(\$#,##0.000000\);\-"/>
    <numFmt numFmtId="172" formatCode="0.0%;[Red]\(0.0%\);\-"/>
    <numFmt numFmtId="173" formatCode="#,##0;[Red]\(#,##0\);\-"/>
    <numFmt numFmtId="174" formatCode="0.0&quot; months&quot;;[Red]\(0.0&quot; months&quot;\);\-"/>
    <numFmt numFmtId="175" formatCode="\$0.0000"/>
    <numFmt numFmtId="176" formatCode="\$#,##0;[Red]\(\$#,##0\);\-"/>
    <numFmt numFmtId="177" formatCode="0.0&quot;x&quot;"/>
    <numFmt numFmtId="178" formatCode="\$0.0000;[Red]\(\$0.0000\);\-"/>
  </numFmts>
  <fonts count="16">
    <font>
      <name val="Calibri"/>
      <color theme="1"/>
      <sz val="11"/>
    </font>
    <font>
      <name val="Arial"/>
      <b val="1"/>
      <color rgb="FF1F3864"/>
      <sz val="15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sz val="10"/>
    </font>
    <font>
      <name val="Arial"/>
      <color rgb="FF0000FF"/>
      <sz val="10"/>
    </font>
    <font>
      <name val="Arial"/>
      <color rgb="FF1F3864"/>
      <sz val="9"/>
    </font>
    <font>
      <name val="Arial"/>
      <b val="1"/>
      <sz val="10"/>
    </font>
    <font>
      <name val="Arial"/>
      <color rgb="FF008000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theme="1"/>
      <sz val="11"/>
    </font>
    <font>
      <name val="Calibri"/>
      <color rgb="FF1747D1"/>
      <sz val="11"/>
    </font>
    <font>
      <name val="Calibri"/>
      <color rgb="FF008040"/>
      <sz val="11"/>
    </font>
    <font>
      <name val="Calibri"/>
      <color rgb="FF59677A"/>
      <sz val="11"/>
    </font>
    <font>
      <name val="Calibri"/>
      <b val="1"/>
      <color rgb="FF59677A"/>
      <sz val="1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33B63"/>
      </patternFill>
    </fill>
    <fill>
      <patternFill patternType="solid">
        <fgColor rgb="FF344F77"/>
      </patternFill>
    </fill>
    <fill>
      <patternFill patternType="solid">
        <fgColor rgb="FFF5F8FC"/>
      </patternFill>
    </fill>
    <fill>
      <patternFill patternType="solid">
        <fgColor rgb="FFDCE5F3"/>
      </patternFill>
    </fill>
    <fill>
      <patternFill patternType="solid">
        <fgColor rgb="FFFFF2C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4" fontId="5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5" fillId="3" borderId="1" pivotButton="0" quotePrefix="0" xfId="0"/>
    <xf numFmtId="166" fontId="5" fillId="0" borderId="1" pivotButton="0" quotePrefix="0" xfId="0"/>
    <xf numFmtId="164" fontId="5" fillId="0" borderId="1" pivotButton="0" quotePrefix="0" xfId="0"/>
    <xf numFmtId="167" fontId="4" fillId="0" borderId="1" pivotButton="0" quotePrefix="0" xfId="0"/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167" fontId="7" fillId="4" borderId="1" pivotButton="0" quotePrefix="0" xfId="0"/>
    <xf numFmtId="164" fontId="4" fillId="0" borderId="1" pivotButton="0" quotePrefix="0" xfId="0"/>
    <xf numFmtId="168" fontId="4" fillId="0" borderId="1" pivotButton="0" quotePrefix="0" xfId="0"/>
    <xf numFmtId="168" fontId="5" fillId="0" borderId="1" pivotButton="0" quotePrefix="0" xfId="0"/>
    <xf numFmtId="168" fontId="5" fillId="3" borderId="1" pivotButton="0" quotePrefix="0" xfId="0"/>
    <xf numFmtId="168" fontId="7" fillId="4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9" fillId="5" borderId="0" applyAlignment="1" pivotButton="0" quotePrefix="0" xfId="0">
      <alignment vertical="center"/>
    </xf>
    <xf numFmtId="0" fontId="10" fillId="6" borderId="0" applyAlignment="1" pivotButton="0" quotePrefix="0" xfId="0">
      <alignment vertical="center" wrapText="1"/>
    </xf>
    <xf numFmtId="0" fontId="0" fillId="7" borderId="0" pivotButton="0" quotePrefix="0" xfId="0"/>
    <xf numFmtId="0" fontId="11" fillId="8" borderId="0" pivotButton="0" quotePrefix="0" xfId="0"/>
    <xf numFmtId="169" fontId="13" fillId="0" borderId="0" pivotButton="0" quotePrefix="0" xfId="0"/>
    <xf numFmtId="169" fontId="0" fillId="0" borderId="0" pivotButton="0" quotePrefix="0" xfId="0"/>
    <xf numFmtId="169" fontId="12" fillId="9" borderId="0" pivotButton="0" quotePrefix="0" xfId="0"/>
    <xf numFmtId="169" fontId="12" fillId="0" borderId="0" pivotButton="0" quotePrefix="0" xfId="0"/>
    <xf numFmtId="169" fontId="0" fillId="7" borderId="0" pivotButton="0" quotePrefix="0" xfId="0"/>
    <xf numFmtId="169" fontId="11" fillId="8" borderId="0" pivotButton="0" quotePrefix="0" xfId="0"/>
    <xf numFmtId="169" fontId="9" fillId="5" borderId="0" applyAlignment="1" pivotButton="0" quotePrefix="0" xfId="0">
      <alignment vertical="center"/>
    </xf>
    <xf numFmtId="169" fontId="13" fillId="7" borderId="0" pivotButton="0" quotePrefix="0" xfId="0"/>
    <xf numFmtId="170" fontId="5" fillId="0" borderId="1" pivotButton="0" quotePrefix="0" xfId="0"/>
    <xf numFmtId="170" fontId="7" fillId="4" borderId="1" pivotButton="0" quotePrefix="0" xfId="0"/>
    <xf numFmtId="170" fontId="8" fillId="0" borderId="1" pivotButton="0" quotePrefix="0" xfId="0"/>
    <xf numFmtId="170" fontId="4" fillId="0" borderId="1" pivotButton="0" quotePrefix="0" xfId="0"/>
    <xf numFmtId="170" fontId="11" fillId="8" borderId="0" pivotButton="0" quotePrefix="0" xfId="0"/>
    <xf numFmtId="170" fontId="0" fillId="7" borderId="0" pivotButton="0" quotePrefix="0" xfId="0"/>
    <xf numFmtId="170" fontId="12" fillId="0" borderId="0" pivotButton="0" quotePrefix="0" xfId="0"/>
    <xf numFmtId="170" fontId="0" fillId="0" borderId="0" pivotButton="0" quotePrefix="0" xfId="0"/>
    <xf numFmtId="171" fontId="13" fillId="0" borderId="0" pivotButton="0" quotePrefix="0" xfId="0"/>
    <xf numFmtId="171" fontId="0" fillId="7" borderId="0" pivotButton="0" quotePrefix="0" xfId="0"/>
    <xf numFmtId="172" fontId="12" fillId="9" borderId="0" pivotButton="0" quotePrefix="0" xfId="0"/>
    <xf numFmtId="172" fontId="11" fillId="8" borderId="0" pivotButton="0" quotePrefix="0" xfId="0"/>
    <xf numFmtId="173" fontId="13" fillId="0" borderId="0" pivotButton="0" quotePrefix="0" xfId="0"/>
    <xf numFmtId="173" fontId="12" fillId="9" borderId="0" pivotButton="0" quotePrefix="0" xfId="0"/>
    <xf numFmtId="173" fontId="12" fillId="0" borderId="0" pivotButton="0" quotePrefix="0" xfId="0"/>
    <xf numFmtId="174" fontId="11" fillId="8" borderId="0" pivotButton="0" quotePrefix="0" xfId="0"/>
    <xf numFmtId="175" fontId="12" fillId="0" borderId="0" pivotButton="0" quotePrefix="0" xfId="0"/>
    <xf numFmtId="166" fontId="12" fillId="9" borderId="0" pivotButton="0" quotePrefix="0" xfId="0"/>
    <xf numFmtId="176" fontId="12" fillId="0" borderId="0" pivotButton="0" quotePrefix="0" xfId="0"/>
    <xf numFmtId="177" fontId="12" fillId="9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5" borderId="0" applyAlignment="1" pivotButton="0" quotePrefix="0" xfId="0">
      <alignment vertical="center" wrapText="1"/>
    </xf>
    <xf numFmtId="0" fontId="10" fillId="5" borderId="0" pivotButton="0" quotePrefix="0" xfId="0"/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78" fontId="11" fillId="8" borderId="0" pivotButton="0" quotePrefix="0" xfId="0"/>
    <xf numFmtId="165" fontId="1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169" fontId="11" fillId="8" borderId="0" pivotButton="0" quotePrefix="0" xfId="0"/>
    <xf numFmtId="178" fontId="11" fillId="8" borderId="0" pivotButton="0" quotePrefix="0" xfId="0"/>
    <xf numFmtId="170" fontId="5" fillId="0" borderId="1" pivotButton="0" quotePrefix="0" xfId="0"/>
    <xf numFmtId="170" fontId="7" fillId="4" borderId="1" pivotButton="0" quotePrefix="0" xfId="0"/>
    <xf numFmtId="170" fontId="8" fillId="0" borderId="1" pivotButton="0" quotePrefix="0" xfId="0"/>
    <xf numFmtId="170" fontId="4" fillId="0" borderId="1" pivotButton="0" quotePrefix="0" xfId="0"/>
    <xf numFmtId="173" fontId="13" fillId="0" borderId="0" pivotButton="0" quotePrefix="0" xfId="0"/>
    <xf numFmtId="169" fontId="0" fillId="0" borderId="0" pivotButton="0" quotePrefix="0" xfId="0"/>
    <xf numFmtId="169" fontId="13" fillId="0" borderId="0" pivotButton="0" quotePrefix="0" xfId="0"/>
    <xf numFmtId="172" fontId="12" fillId="9" borderId="0" pivotButton="0" quotePrefix="0" xfId="0"/>
    <xf numFmtId="171" fontId="13" fillId="0" borderId="0" pivotButton="0" quotePrefix="0" xfId="0"/>
    <xf numFmtId="170" fontId="12" fillId="0" borderId="0" pivotButton="0" quotePrefix="0" xfId="0"/>
    <xf numFmtId="173" fontId="12" fillId="9" borderId="0" pivotButton="0" quotePrefix="0" xfId="0"/>
    <xf numFmtId="171" fontId="0" fillId="7" borderId="0" pivotButton="0" quotePrefix="0" xfId="0"/>
    <xf numFmtId="169" fontId="0" fillId="7" borderId="0" pivotButton="0" quotePrefix="0" xfId="0"/>
    <xf numFmtId="170" fontId="11" fillId="8" borderId="0" pivotButton="0" quotePrefix="0" xfId="0"/>
    <xf numFmtId="177" fontId="12" fillId="9" borderId="0" pivotButton="0" quotePrefix="0" xfId="0"/>
    <xf numFmtId="172" fontId="11" fillId="8" borderId="0" pivotButton="0" quotePrefix="0" xfId="0"/>
    <xf numFmtId="175" fontId="12" fillId="0" borderId="0" pivotButton="0" quotePrefix="0" xfId="0"/>
    <xf numFmtId="176" fontId="12" fillId="0" borderId="0" pivotButton="0" quotePrefix="0" xfId="0"/>
    <xf numFmtId="169" fontId="9" fillId="5" borderId="0" applyAlignment="1" pivotButton="0" quotePrefix="0" xfId="0">
      <alignment vertical="center"/>
    </xf>
    <xf numFmtId="169" fontId="12" fillId="0" borderId="0" pivotButton="0" quotePrefix="0" xfId="0"/>
    <xf numFmtId="170" fontId="0" fillId="7" borderId="0" pivotButton="0" quotePrefix="0" xfId="0"/>
    <xf numFmtId="169" fontId="13" fillId="7" borderId="0" pivotButton="0" quotePrefix="0" xfId="0"/>
    <xf numFmtId="169" fontId="12" fillId="9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tabSelected="1" workbookViewId="0">
      <selection activeCell="D9" sqref="D9"/>
    </sheetView>
  </sheetViews>
  <sheetFormatPr baseColWidth="8" defaultRowHeight="14.5"/>
  <cols>
    <col width="53" customWidth="1" style="64" min="1" max="1"/>
    <col width="16" customWidth="1" style="64" min="2" max="3"/>
    <col width="52" customWidth="1" style="64" min="4" max="4"/>
    <col width="85" customWidth="1" style="64" min="5" max="5"/>
  </cols>
  <sheetData>
    <row r="1" ht="19" customHeight="1" s="64">
      <c r="A1" s="1" t="inlineStr">
        <is>
          <t>AtliQ Contract Risk Analyzer: running cost as built (demo)</t>
        </is>
      </c>
    </row>
    <row r="2">
      <c r="A2" s="2" t="n"/>
    </row>
    <row r="4">
      <c r="A4" s="3" t="inlineStr">
        <is>
          <t>Inputs</t>
        </is>
      </c>
      <c r="B4" s="3" t="inlineStr">
        <is>
          <t>Value</t>
        </is>
      </c>
      <c r="C4" s="3" t="n"/>
      <c r="D4" s="3" t="n"/>
      <c r="E4" s="3" t="inlineStr">
        <is>
          <t>Source / note</t>
        </is>
      </c>
    </row>
    <row r="5">
      <c r="A5" s="4" t="inlineStr">
        <is>
          <t>Contracts reviewed per month (today)</t>
        </is>
      </c>
      <c r="B5" s="5" t="n">
        <v>20</v>
      </c>
      <c r="C5" s="6" t="n"/>
      <c r="D5" s="6" t="n"/>
      <c r="E5" s="7" t="inlineStr">
        <is>
          <t>Assumption from AtliQ_Cost_Estimation.md (§1): ~20 contracts a month today.</t>
        </is>
      </c>
    </row>
    <row r="6">
      <c r="A6" s="4" t="inlineStr">
        <is>
          <t>Contracts reviewed per month (10× growth)</t>
        </is>
      </c>
      <c r="B6" s="5" t="n">
        <v>200</v>
      </c>
      <c r="C6" s="6" t="n"/>
      <c r="D6" s="6" t="n"/>
      <c r="E6" s="7" t="inlineStr">
        <is>
          <t>Scale scenario used in AtliQ_Cost_Estimation.md.</t>
        </is>
      </c>
    </row>
    <row r="7">
      <c r="A7" s="4" t="inlineStr">
        <is>
          <t>Review runs per contract (re-runs on new drafts)</t>
        </is>
      </c>
      <c r="B7" s="8" t="n">
        <v>1.5</v>
      </c>
      <c r="C7" s="6" t="n"/>
      <c r="D7" s="6" t="n"/>
      <c r="E7" s="7" t="inlineStr">
        <is>
          <t>Assumption from AtliQ_Cost_Estimation.md (§3): new drafts during negotiation get re-reviewed.</t>
        </is>
      </c>
    </row>
    <row r="8">
      <c r="A8" s="4" t="inlineStr">
        <is>
          <t>Reading time per contract without the tool (hours)</t>
        </is>
      </c>
      <c r="B8" s="8" t="n">
        <v>3</v>
      </c>
      <c r="C8" s="6" t="n"/>
      <c r="D8" s="6" t="n"/>
      <c r="E8" s="7" t="inlineStr">
        <is>
          <t>From the AI Opportunity Map and cost doc: every contract is a fresh ~3-hour read.</t>
        </is>
      </c>
    </row>
    <row r="10">
      <c r="A10" s="3" t="inlineStr">
        <is>
          <t>Claude Haiku 5.5 price</t>
        </is>
      </c>
      <c r="B10" s="3" t="inlineStr">
        <is>
          <t>$ per 1M tokens</t>
        </is>
      </c>
      <c r="C10" s="3" t="n"/>
      <c r="D10" s="3" t="n"/>
      <c r="E10" s="3" t="inlineStr">
        <is>
          <t>Source / note</t>
        </is>
      </c>
    </row>
    <row r="11">
      <c r="A11" s="4" t="inlineStr">
        <is>
          <t>Input (not cached)</t>
        </is>
      </c>
      <c r="B11" s="9" t="n">
        <v>0.1</v>
      </c>
      <c r="C11" s="6" t="n"/>
      <c r="D11" s="6" t="n"/>
      <c r="E11" s="7" t="inlineStr">
        <is>
          <t>Vendor list rate (USD / 1M tokens): https://platform.claude.com/docs/en/models/haiku-5-5/overview</t>
        </is>
      </c>
    </row>
    <row r="12">
      <c r="A12" s="4" t="inlineStr">
        <is>
          <t>Cache write (5-minute)</t>
        </is>
      </c>
      <c r="B12" s="9" t="n">
        <v>0.125</v>
      </c>
      <c r="C12" s="6" t="n"/>
      <c r="D12" s="6" t="n"/>
      <c r="E12" s="7" t="inlineStr">
        <is>
          <t>1.25 × input price, Anthropic prompt-caching pricing.</t>
        </is>
      </c>
    </row>
    <row r="13">
      <c r="A13" s="4" t="inlineStr">
        <is>
          <t>Cache read</t>
        </is>
      </c>
      <c r="B13" s="9" t="n">
        <v>0.01</v>
      </c>
      <c r="C13" s="6" t="n"/>
      <c r="D13" s="6" t="n"/>
      <c r="E13" s="7" t="inlineStr">
        <is>
          <t>0.1 × input price, Anthropic prompt-caching pricing.</t>
        </is>
      </c>
    </row>
    <row r="14">
      <c r="A14" s="4" t="inlineStr">
        <is>
          <t>Output</t>
        </is>
      </c>
      <c r="B14" s="9" t="n">
        <v>0.5</v>
      </c>
      <c r="C14" s="6" t="n"/>
      <c r="D14" s="6" t="n"/>
      <c r="E14" s="7" t="inlineStr">
        <is>
          <t>Vendor list rate (USD / 1M tokens): https://platform.claude.com/docs/en/models/haiku-5-5/overview</t>
        </is>
      </c>
    </row>
    <row r="16">
      <c r="A16" s="3" t="inlineStr">
        <is>
          <t>Tokens per review (measured)</t>
        </is>
      </c>
      <c r="B16" s="3" t="inlineStr">
        <is>
          <t>Tokens</t>
        </is>
      </c>
      <c r="C16" s="3" t="inlineStr">
        <is>
          <t>Cost per review</t>
        </is>
      </c>
      <c r="D16" s="3" t="inlineStr">
        <is>
          <t>How it's calculated</t>
        </is>
      </c>
      <c r="E16" s="3" t="inlineStr">
        <is>
          <t>Source / note</t>
        </is>
      </c>
    </row>
    <row r="17" ht="30" customHeight="1" s="64">
      <c r="A17" s="4" t="inlineStr">
        <is>
          <t>Input (not cached)</t>
        </is>
      </c>
      <c r="B17" s="10" t="n">
        <v>200</v>
      </c>
      <c r="C17" s="11">
        <f>B17*B11/1000000</f>
        <v/>
      </c>
      <c r="D17" s="12" t="inlineStr">
        <is>
          <t>Tokens × price per 1M ÷ 1,000,000
→ B17 × B11 ÷ 1,000,000</t>
        </is>
      </c>
      <c r="E17" s="13" t="inlineStr">
        <is>
          <t>Average of the 15 Claude reviews in the golden-set eval run (13 Oct 2026), as reported by the Anthropic API.</t>
        </is>
      </c>
    </row>
    <row r="18" ht="30" customHeight="1" s="64">
      <c r="A18" s="4" t="inlineStr">
        <is>
          <t>Cache write</t>
        </is>
      </c>
      <c r="B18" s="10" t="n">
        <v>5000</v>
      </c>
      <c r="C18" s="11">
        <f>B18*B12/1000000</f>
        <v/>
      </c>
      <c r="D18" s="12" t="inlineStr">
        <is>
          <t>Tokens × price per 1M ÷ 1,000,000
→ B18 × B12 ÷ 1,000,000</t>
        </is>
      </c>
      <c r="E18" s="6" t="n"/>
    </row>
    <row r="19" ht="30" customHeight="1" s="64">
      <c r="A19" s="4" t="inlineStr">
        <is>
          <t>Cache read</t>
        </is>
      </c>
      <c r="B19" s="10" t="n">
        <v>7000</v>
      </c>
      <c r="C19" s="11">
        <f>B19*B13/1000000</f>
        <v/>
      </c>
      <c r="D19" s="12" t="inlineStr">
        <is>
          <t>Tokens × price per 1M ÷ 1,000,000
→ B19 × B13 ÷ 1,000,000</t>
        </is>
      </c>
      <c r="E19" s="6" t="n"/>
    </row>
    <row r="20" ht="30" customHeight="1" s="64">
      <c r="A20" s="4" t="inlineStr">
        <is>
          <t>Output</t>
        </is>
      </c>
      <c r="B20" s="10" t="n">
        <v>15000</v>
      </c>
      <c r="C20" s="11">
        <f>B20*B14/1000000</f>
        <v/>
      </c>
      <c r="D20" s="12" t="inlineStr">
        <is>
          <t>Tokens × price per 1M ÷ 1,000,000
→ B20 × B14 ÷ 1,000,000</t>
        </is>
      </c>
      <c r="E20" s="6" t="n"/>
    </row>
    <row r="21" ht="30" customHeight="1" s="64">
      <c r="A21" s="14" t="inlineStr">
        <is>
          <t>Claude cost per review</t>
        </is>
      </c>
      <c r="B21" s="6" t="n"/>
      <c r="C21" s="15">
        <f>SUM(C17:C20)</f>
        <v/>
      </c>
      <c r="D21" s="12" t="inlineStr">
        <is>
          <t>Add the four token costs
→ C17 + C18 + C19 + C20</t>
        </is>
      </c>
      <c r="E21" s="7" t="inlineStr">
        <is>
          <t>The rules engine is free; Claude only adds a second opinion.</t>
        </is>
      </c>
    </row>
    <row r="23">
      <c r="A23" s="3" t="inlineStr">
        <is>
          <t>Monthly running cost</t>
        </is>
      </c>
      <c r="B23" s="3" t="inlineStr">
        <is>
          <t>Today</t>
        </is>
      </c>
      <c r="C23" s="3" t="inlineStr">
        <is>
          <t>10× growth</t>
        </is>
      </c>
      <c r="D23" s="3" t="inlineStr">
        <is>
          <t>How it's calculated</t>
        </is>
      </c>
      <c r="E23" s="3" t="inlineStr">
        <is>
          <t>Note</t>
        </is>
      </c>
    </row>
    <row r="24" ht="30" customHeight="1" s="64">
      <c r="A24" s="4" t="inlineStr">
        <is>
          <t>Reviews run per month</t>
        </is>
      </c>
      <c r="B24" s="16">
        <f>B5*B7</f>
        <v/>
      </c>
      <c r="C24" s="16">
        <f>B6*B7</f>
        <v/>
      </c>
      <c r="D24" s="12" t="inlineStr">
        <is>
          <t>Contracts per month × runs per contract
→ Today: B5 × B7   ·   10×: B6 × B7</t>
        </is>
      </c>
      <c r="E24" s="6" t="n"/>
    </row>
    <row r="25" ht="30" customHeight="1" s="64">
      <c r="A25" s="4" t="inlineStr">
        <is>
          <t>Claude API (Haiku 5.5)</t>
        </is>
      </c>
      <c r="B25" s="17">
        <f>B24*$C$21</f>
        <v/>
      </c>
      <c r="C25" s="17">
        <f>C24*$C$21</f>
        <v/>
      </c>
      <c r="D25" s="12" t="inlineStr">
        <is>
          <t>Reviews per month × Claude cost per review
→ Today: B24 × C21   ·   10×: C24 × C21</t>
        </is>
      </c>
      <c r="E25" s="6" t="n"/>
    </row>
    <row r="26" ht="30" customHeight="1" s="64">
      <c r="A26" s="4" t="inlineStr">
        <is>
          <t>Rules engine</t>
        </is>
      </c>
      <c r="B26" s="18" t="n">
        <v>0</v>
      </c>
      <c r="C26" s="18" t="n">
        <v>0</v>
      </c>
      <c r="D26" s="12" t="inlineStr">
        <is>
          <t>Fixed amount you enter (input)</t>
        </is>
      </c>
      <c r="E26" s="7" t="inlineStr">
        <is>
          <t>Runs inside the app; no external service.</t>
        </is>
      </c>
    </row>
    <row r="27" ht="30" customHeight="1" s="64">
      <c r="A27" s="4" t="inlineStr">
        <is>
          <t>Database (SQLite file)</t>
        </is>
      </c>
      <c r="B27" s="18" t="n">
        <v>0</v>
      </c>
      <c r="C27" s="18" t="n">
        <v>0</v>
      </c>
      <c r="D27" s="12" t="inlineStr">
        <is>
          <t>Fixed amount you enter (input)</t>
        </is>
      </c>
      <c r="E27" s="7" t="inlineStr">
        <is>
          <t>A local file; no database server.</t>
        </is>
      </c>
    </row>
    <row r="28" ht="30" customHeight="1" s="64">
      <c r="A28" s="4" t="inlineStr">
        <is>
          <t>Hosting</t>
        </is>
      </c>
      <c r="B28" s="19" t="n">
        <v>0</v>
      </c>
      <c r="C28" s="19" t="n">
        <v>0</v>
      </c>
      <c r="D28" s="12" t="inlineStr">
        <is>
          <t>Fixed amount you enter (input)</t>
        </is>
      </c>
      <c r="E28" s="7" t="inlineStr">
        <is>
          <t>Runs on your computer today. Enter a monthly hosting price here if you put it online.</t>
        </is>
      </c>
    </row>
    <row r="29" ht="30" customHeight="1" s="64">
      <c r="A29" s="14" t="inlineStr">
        <is>
          <t>Total per month</t>
        </is>
      </c>
      <c r="B29" s="20">
        <f>SUM(B25:B28)</f>
        <v/>
      </c>
      <c r="C29" s="20">
        <f>SUM(C25:C28)</f>
        <v/>
      </c>
      <c r="D29" s="12" t="inlineStr">
        <is>
          <t>Add every monthly cost above
→ Today: B25 + B26 + B27 + B28   ·   10×: C25 + C26 + C27 + C28</t>
        </is>
      </c>
      <c r="E29" s="6" t="n"/>
    </row>
    <row r="30" ht="30" customHeight="1" s="64">
      <c r="A30" s="14" t="inlineStr">
        <is>
          <t>Total per year</t>
        </is>
      </c>
      <c r="B30" s="20">
        <f>B29*12</f>
        <v/>
      </c>
      <c r="C30" s="20">
        <f>C29*12</f>
        <v/>
      </c>
      <c r="D30" s="12" t="inlineStr">
        <is>
          <t>Monthly total × 12 months
→ Today: B29 × 12   ·   10×: C29 × 12</t>
        </is>
      </c>
      <c r="E30" s="6" t="n"/>
    </row>
    <row r="32">
      <c r="A32" s="3" t="inlineStr">
        <is>
          <t>What it saves</t>
        </is>
      </c>
      <c r="B32" s="3" t="inlineStr">
        <is>
          <t>Today</t>
        </is>
      </c>
      <c r="C32" s="3" t="inlineStr">
        <is>
          <t>10× growth</t>
        </is>
      </c>
      <c r="D32" s="3" t="inlineStr">
        <is>
          <t>How it's calculated</t>
        </is>
      </c>
      <c r="E32" s="3" t="inlineStr">
        <is>
          <t>Note</t>
        </is>
      </c>
    </row>
    <row r="33" ht="30" customHeight="1" s="64">
      <c r="A33" s="4" t="inlineStr">
        <is>
          <t>Baseline manual reading workload (hours/month)</t>
        </is>
      </c>
      <c r="B33" s="16">
        <f>B5*B8</f>
        <v/>
      </c>
      <c r="C33" s="16">
        <f>B6*B8</f>
        <v/>
      </c>
      <c r="D33" s="12" t="inlineStr">
        <is>
          <t>Contracts per month × reading hours per contract
→ Today: B5 × B8   ·   10×: B6 × B8</t>
        </is>
      </c>
      <c r="E33" s="7" t="inlineStr">
        <is>
          <t>Baseline, not realized time saved. Net savings require demonstrated human verification times and production-quality output.</t>
        </is>
      </c>
    </row>
    <row r="34" ht="30" customHeight="1" s="64">
      <c r="A34" s="4" t="inlineStr">
        <is>
          <t>Haiku API cost / baseline reading hour (not ROI)</t>
        </is>
      </c>
      <c r="B34" s="11">
        <f>IF(B33=0,0,B25/B33)</f>
        <v/>
      </c>
      <c r="C34" s="11">
        <f>IF(C33=0,0,C25/C33)</f>
        <v/>
      </c>
      <c r="D34" s="12" t="inlineStr">
        <is>
          <t>Claude cost per month ÷ hours saved per month (0 if no hours)
→ Today: B25 ÷ B33   ·   10×: C25 ÷ C33</t>
        </is>
      </c>
      <c r="E34" s="6" t="inlineStr">
        <is>
          <t>API-only ratio, not all-in cost or ROI. Excludes validation, support, hosting and implementation.</t>
        </is>
      </c>
    </row>
    <row r="36">
      <c r="A36" s="3" t="inlineStr">
        <is>
          <t>One-off costs</t>
        </is>
      </c>
      <c r="B36" s="3" t="inlineStr">
        <is>
          <t>Cost</t>
        </is>
      </c>
      <c r="C36" s="3" t="n"/>
      <c r="D36" s="3" t="inlineStr">
        <is>
          <t>How it's calculated</t>
        </is>
      </c>
      <c r="E36" s="3" t="inlineStr">
        <is>
          <t>Note</t>
        </is>
      </c>
    </row>
    <row r="37" ht="30" customHeight="1" s="64">
      <c r="A37" s="4" t="inlineStr">
        <is>
          <t>One full accuracy check (15 drafts, with Claude)</t>
        </is>
      </c>
      <c r="B37" s="17">
        <f>15*C21</f>
        <v/>
      </c>
      <c r="C37" s="6" t="n"/>
      <c r="D37" s="12" t="inlineStr">
        <is>
          <t>15 draft contracts × Claude cost per review
→ 15 × C21</t>
        </is>
      </c>
      <c r="E37" s="7" t="inlineStr">
        <is>
          <t>Re-run after changing rules or prompts. The rules-only check is free.</t>
        </is>
      </c>
    </row>
    <row r="39">
      <c r="A39" s="21" t="inlineStr">
        <is>
          <t>Notes</t>
        </is>
      </c>
    </row>
    <row r="40" ht="26" customHeight="1" s="64">
      <c r="A40" s="63" t="inlineStr">
        <is>
          <t>• Measured cost varies by contract length: in the eval run, Claude's output ranged from 6,272 to 20,669 tokens per review.</t>
        </is>
      </c>
    </row>
    <row r="41" ht="26" customHeight="1" s="64">
      <c r="A41" s="63" t="inlineStr">
        <is>
          <t>• Prices are Anthropic's list prices for Claude Haiku 5.5 on prompts up to 100K tokens; longer prompts cost 5× more ($0.50 in / $2.50 out per 1M).</t>
        </is>
      </c>
    </row>
    <row r="42" ht="26" customHeight="1" s="64">
      <c r="A42" s="63" t="inlineStr">
        <is>
          <t>• Without an API key the app uses the free rules engine only, and the monthly cost is $0.</t>
        </is>
      </c>
    </row>
    <row r="44" ht="26" customHeight="1" s="64">
      <c r="A44" s="58" t="inlineStr">
        <is>
          <t>Human review: conditional planning scenario</t>
        </is>
      </c>
      <c r="B44" s="58" t="inlineStr">
        <is>
          <t>Today</t>
        </is>
      </c>
      <c r="C44" s="58" t="inlineStr">
        <is>
          <t>10× growth</t>
        </is>
      </c>
      <c r="D44" s="58" t="inlineStr">
        <is>
          <t>How it's calculated</t>
        </is>
      </c>
      <c r="E44" s="58" t="inlineStr">
        <is>
          <t>Assumption / limitation</t>
        </is>
      </c>
    </row>
    <row r="45" ht="28" customHeight="1" s="64">
      <c r="A45" t="inlineStr">
        <is>
          <t>Assisted human minutes per contract</t>
        </is>
      </c>
      <c r="B45" s="62">
        <f>Production!$B$49</f>
        <v/>
      </c>
      <c r="C45" s="62">
        <f>B45</f>
        <v/>
      </c>
      <c r="D45" t="inlineStr">
        <is>
          <t>Linked to the Production scenario's contract mix.</t>
        </is>
      </c>
      <c r="E45" s="59" t="inlineStr">
        <is>
          <t>Not measured. Demo alone is NOT a safe production-quality replacement.</t>
        </is>
      </c>
    </row>
    <row r="46" ht="28" customHeight="1" s="64">
      <c r="A46" s="26" t="inlineStr">
        <is>
          <t>Conditional net human hours freed/month</t>
        </is>
      </c>
      <c r="B46" s="65">
        <f>B5*MAX(0,B8-B45/60)</f>
        <v/>
      </c>
      <c r="C46" s="65">
        <f>B6*MAX(0,B8-C45/60)</f>
        <v/>
      </c>
      <c r="D46" t="inlineStr">
        <is>
          <t>Volume × (baseline hours - manual validation hours).</t>
        </is>
      </c>
      <c r="E46" s="59" t="inlineStr">
        <is>
          <t>Illustrative opportunity capacity only, conditional on acceptable quality.</t>
        </is>
      </c>
    </row>
    <row r="47" ht="28" customHeight="1" s="64">
      <c r="A47" s="26" t="inlineStr">
        <is>
          <t>Haiku cost / conditional net hour</t>
        </is>
      </c>
      <c r="B47" s="66">
        <f>IF(B46&gt;0,B25/B46,0)</f>
        <v/>
      </c>
      <c r="C47" s="66">
        <f>IF(C46&gt;0,C25/C46,0)</f>
        <v/>
      </c>
      <c r="D47" t="inlineStr">
        <is>
          <t>Haiku API cost divided by net conditional review hours.</t>
        </is>
      </c>
      <c r="E47" s="59" t="inlineStr">
        <is>
          <t>Not all-in operating cost and not actual ROI.</t>
        </is>
      </c>
    </row>
    <row r="48">
      <c r="A48" s="55" t="inlineStr">
        <is>
          <t>• Demo measures rules + Haiku API costs only; the full PRD requires human approval, retrieval, citations, quality gates and security.</t>
        </is>
      </c>
      <c r="B48" s="55" t="n"/>
      <c r="C48" s="55" t="n"/>
      <c r="D48" s="55" t="n"/>
      <c r="E48" s="55" t="n"/>
    </row>
  </sheetData>
  <mergeCells count="3">
    <mergeCell ref="A40:E40"/>
    <mergeCell ref="A42:E42"/>
    <mergeCell ref="A41:E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topLeftCell="A55" workbookViewId="0">
      <selection activeCell="E61" sqref="E61"/>
    </sheetView>
  </sheetViews>
  <sheetFormatPr baseColWidth="8" defaultRowHeight="14.5"/>
  <cols>
    <col width="54" customWidth="1" style="64" min="1" max="1"/>
    <col width="15" customWidth="1" style="64" min="2" max="5"/>
    <col width="78" customWidth="1" style="64" min="6" max="6"/>
  </cols>
  <sheetData>
    <row r="1" ht="19" customHeight="1" s="64">
      <c r="A1" s="1" t="inlineStr">
        <is>
          <t>AtliQ Contract Risk Analyzer: production plan (itemized estimate)</t>
        </is>
      </c>
    </row>
    <row r="2">
      <c r="A2" s="2" t="inlineStr">
        <is>
          <t>Same format as original: Opus + Haiku, Voyage, Textract, managed Postgres, AWS and SSO. Production inputs below are planning assumptions, not measured quotes.</t>
        </is>
      </c>
    </row>
    <row r="4">
      <c r="A4" s="3" t="inlineStr">
        <is>
          <t>Monthly running cost</t>
        </is>
      </c>
      <c r="B4" s="3" t="inlineStr">
        <is>
          <t>Today: low</t>
        </is>
      </c>
      <c r="C4" s="3" t="inlineStr">
        <is>
          <t>Today: high</t>
        </is>
      </c>
      <c r="D4" s="3" t="inlineStr">
        <is>
          <t>10×: low</t>
        </is>
      </c>
      <c r="E4" s="3" t="inlineStr">
        <is>
          <t>10×: high</t>
        </is>
      </c>
      <c r="F4" s="3" t="inlineStr">
        <is>
          <t>Source / how it's calculated</t>
        </is>
      </c>
    </row>
    <row r="5" ht="32" customHeight="1" s="64">
      <c r="A5" s="4" t="inlineStr">
        <is>
          <t>Claude models (Opus 5.5 + Haiku 5.5)</t>
        </is>
      </c>
      <c r="B5" s="67">
        <f>B37</f>
        <v/>
      </c>
      <c r="C5" s="67">
        <f>B37</f>
        <v/>
      </c>
      <c r="D5" s="67">
        <f>D37</f>
        <v/>
      </c>
      <c r="E5" s="67">
        <f>D37</f>
        <v/>
      </c>
      <c r="F5" s="60" t="inlineStr">
        <is>
          <t>Formula: incoming contracts × review runs × weighted Opus+Haiku cost; includes retry allowance. See rows 19–37.</t>
        </is>
      </c>
    </row>
    <row r="6" ht="32" customHeight="1" s="64">
      <c r="A6" s="4" t="inlineStr">
        <is>
          <t>Embeddings + OCR</t>
        </is>
      </c>
      <c r="B6" s="67">
        <f>B58</f>
        <v/>
      </c>
      <c r="C6" s="67">
        <f>B58</f>
        <v/>
      </c>
      <c r="D6" s="67">
        <f>D58</f>
        <v/>
      </c>
      <c r="E6" s="67">
        <f>D58</f>
        <v/>
      </c>
      <c r="F6" s="60" t="inlineStr">
        <is>
          <t>Formula: weighted scanned pages × Textract rate + pages × embedding rate, multiplied by review runs. See rows 40–58.</t>
        </is>
      </c>
    </row>
    <row r="7" ht="32" customHeight="1" s="64">
      <c r="A7" s="4" t="inlineStr">
        <is>
          <t>Infrastructure (hosting, database, storage, monitoring)</t>
        </is>
      </c>
      <c r="B7" s="67">
        <f>B69</f>
        <v/>
      </c>
      <c r="C7" s="67">
        <f>C69</f>
        <v/>
      </c>
      <c r="D7" s="67">
        <f>D69</f>
        <v/>
      </c>
      <c r="E7" s="67">
        <f>E69</f>
        <v/>
      </c>
      <c r="F7" s="60" t="inlineStr">
        <is>
          <t>Itemized low/high cloud budgets (not vendor quotes) by service in rows 61–69.</t>
        </is>
      </c>
    </row>
    <row r="8" ht="30" customHeight="1" s="64">
      <c r="A8" s="14" t="inlineStr">
        <is>
          <t>Total per month</t>
        </is>
      </c>
      <c r="B8" s="68">
        <f>SUM(B5:B7)</f>
        <v/>
      </c>
      <c r="C8" s="68">
        <f>SUM(C5:C7)</f>
        <v/>
      </c>
      <c r="D8" s="68">
        <f>SUM(D5:D7)</f>
        <v/>
      </c>
      <c r="E8" s="68">
        <f>SUM(E5:E7)</f>
        <v/>
      </c>
      <c r="F8" s="12" t="inlineStr">
        <is>
          <t>Add the three cost rows above, in each column
→ e.g. Today low: B5 + B6 + B7</t>
        </is>
      </c>
    </row>
    <row r="9" ht="30" customHeight="1" s="64">
      <c r="A9" s="14" t="inlineStr">
        <is>
          <t>Total per year</t>
        </is>
      </c>
      <c r="B9" s="68">
        <f>B8*12</f>
        <v/>
      </c>
      <c r="C9" s="68">
        <f>C8*12</f>
        <v/>
      </c>
      <c r="D9" s="68">
        <f>D8*12</f>
        <v/>
      </c>
      <c r="E9" s="68">
        <f>E8*12</f>
        <v/>
      </c>
      <c r="F9" s="12" t="inlineStr">
        <is>
          <t>Monthly total × 12 months
→ e.g. Today low: B8 × 12</t>
        </is>
      </c>
    </row>
    <row r="11">
      <c r="A11" s="3" t="inlineStr">
        <is>
          <t>Compared with the demo</t>
        </is>
      </c>
      <c r="B11" s="3" t="inlineStr">
        <is>
          <t>Today</t>
        </is>
      </c>
      <c r="C11" s="3" t="n"/>
      <c r="D11" s="3" t="inlineStr">
        <is>
          <t>10× growth</t>
        </is>
      </c>
      <c r="E11" s="3" t="n"/>
      <c r="F11" s="3" t="inlineStr">
        <is>
          <t>How it's calculated</t>
        </is>
      </c>
    </row>
    <row r="12" ht="30" customHeight="1" s="64">
      <c r="A12" s="4" t="inlineStr">
        <is>
          <t>Demo total per month</t>
        </is>
      </c>
      <c r="B12" s="69">
        <f>Demo!B29</f>
        <v/>
      </c>
      <c r="C12" s="6" t="n"/>
      <c r="D12" s="69">
        <f>Demo!C29</f>
        <v/>
      </c>
      <c r="E12" s="6" t="n"/>
      <c r="F12" s="12" t="inlineStr">
        <is>
          <t>Copied from the Demo tab's monthly total
→ Today: Demo!B29   ·   10×: Demo!C29</t>
        </is>
      </c>
    </row>
    <row r="13" ht="30" customHeight="1" s="64">
      <c r="A13" s="4" t="inlineStr">
        <is>
          <t>Production total per month (midpoint)</t>
        </is>
      </c>
      <c r="B13" s="70">
        <f>(B8+C8)/2</f>
        <v/>
      </c>
      <c r="C13" s="6" t="n"/>
      <c r="D13" s="70">
        <f>(D8+E8)/2</f>
        <v/>
      </c>
      <c r="E13" s="6" t="n"/>
      <c r="F13" s="12" t="inlineStr">
        <is>
          <t>Production platform midpoint (excludes recurring support). For ALL-IN cost and ROI see rows 80–85.</t>
        </is>
      </c>
    </row>
    <row r="15">
      <c r="A15" s="22" t="inlineStr">
        <is>
          <t>• Budgeted production costs use auditable model/token/document assumptions; all-in costs also include recurring support.</t>
        </is>
      </c>
    </row>
    <row r="16">
      <c r="A16" s="22" t="inlineStr">
        <is>
          <t>• Reviewer time released is opportunity capacity, not guaranteed cash savings. Confirm in shadow-mode testing and obtain vendor quotes.</t>
        </is>
      </c>
    </row>
    <row r="18" ht="26" customHeight="1" s="64">
      <c r="A18" s="23" t="inlineStr">
        <is>
          <t>01 | PRODUCTION USAGE &amp; MODEL WORKLOAD</t>
        </is>
      </c>
      <c r="B18" s="23" t="n"/>
      <c r="C18" s="23" t="n"/>
      <c r="D18" s="23" t="n"/>
      <c r="E18" s="23" t="n"/>
      <c r="F18" s="23" t="n"/>
    </row>
    <row r="19" ht="22" customHeight="1" s="64">
      <c r="A19" t="inlineStr">
        <is>
          <t>Incoming contracts / month</t>
        </is>
      </c>
      <c r="B19" s="71">
        <f>Demo!B5</f>
        <v/>
      </c>
      <c r="C19" s="72" t="n"/>
      <c r="D19" s="71">
        <f>Demo!B6</f>
        <v/>
      </c>
      <c r="F19" s="56" t="inlineStr">
        <is>
          <t>20 per month from PRD; 200 is a capacity scenario.</t>
        </is>
      </c>
    </row>
    <row r="20" ht="22" customHeight="1" s="64">
      <c r="A20" t="inlineStr">
        <is>
          <t>Review runs per incoming contract</t>
        </is>
      </c>
      <c r="B20" s="73">
        <f>Demo!B7</f>
        <v/>
      </c>
      <c r="C20" s="72" t="n"/>
      <c r="D20" s="72">
        <f>B20</f>
        <v/>
      </c>
      <c r="F20" s="56" t="inlineStr">
        <is>
          <t>Revisions / redrafts; planning assumption.</t>
        </is>
      </c>
    </row>
    <row r="21" ht="22" customHeight="1" s="64">
      <c r="A21" t="inlineStr">
        <is>
          <t>Retries and extra inference allowance</t>
        </is>
      </c>
      <c r="B21" s="74" t="n">
        <v>0.1</v>
      </c>
      <c r="C21" s="72" t="n"/>
      <c r="D21" s="72" t="n"/>
      <c r="F21" s="56" t="inlineStr">
        <is>
          <t>Unverified 10% planning allowance, before audit.</t>
        </is>
      </c>
    </row>
    <row r="22" ht="22" customHeight="1" s="64">
      <c r="A22" t="inlineStr">
        <is>
          <t>Haiku API per call (USD)</t>
        </is>
      </c>
      <c r="B22" s="75">
        <f>Demo!C21</f>
        <v/>
      </c>
      <c r="C22" s="72" t="n"/>
      <c r="D22" s="72" t="n"/>
      <c r="F22" s="56" t="inlineStr">
        <is>
          <t>Demo!C21 measured 15-run average, subject to API billing validation.</t>
        </is>
      </c>
    </row>
    <row r="23" ht="22" customHeight="1" s="64">
      <c r="A23" t="inlineStr">
        <is>
          <t>Opus 5.5 input USD / 1M tokens</t>
        </is>
      </c>
      <c r="B23" s="76" t="n">
        <v>4</v>
      </c>
      <c r="C23" s="72" t="n"/>
      <c r="D23" s="72" t="n"/>
      <c r="F23" s="56" t="inlineStr">
        <is>
          <t>https://platform.claude.com/docs/en/models/opus-5-5/overview</t>
        </is>
      </c>
    </row>
    <row r="24" ht="22" customHeight="1" s="64">
      <c r="A24" t="inlineStr">
        <is>
          <t>Opus 5.5 cache write USD / 1M</t>
        </is>
      </c>
      <c r="B24" s="76" t="n">
        <v>5</v>
      </c>
      <c r="C24" s="72" t="n"/>
      <c r="D24" s="72" t="n"/>
      <c r="F24" s="56" t="inlineStr">
        <is>
          <t>5-minute cache pricing; same vendor URL.</t>
        </is>
      </c>
    </row>
    <row r="25" ht="22" customHeight="1" s="64">
      <c r="A25" t="inlineStr">
        <is>
          <t>Opus 5.5 cache read USD / 1M</t>
        </is>
      </c>
      <c r="B25" s="76" t="n">
        <v>0.2</v>
      </c>
      <c r="C25" s="72" t="n"/>
      <c r="D25" s="72" t="n"/>
      <c r="F25" s="56" t="inlineStr">
        <is>
          <t>Same vendor URL.</t>
        </is>
      </c>
    </row>
    <row r="26" ht="22" customHeight="1" s="64">
      <c r="A26" t="inlineStr">
        <is>
          <t>Opus 5.5 output USD / 1M tokens</t>
        </is>
      </c>
      <c r="B26" s="76" t="n">
        <v>20</v>
      </c>
      <c r="C26" s="72" t="n"/>
      <c r="D26" s="72" t="n"/>
      <c r="F26" s="56" t="inlineStr">
        <is>
          <t>Same vendor URL; long-context tier may cost more.</t>
        </is>
      </c>
    </row>
    <row r="27" ht="22" customHeight="1" s="64">
      <c r="A27" t="inlineStr">
        <is>
          <t>Opus uncached input tokens / call</t>
        </is>
      </c>
      <c r="B27" s="77" t="n">
        <v>50000</v>
      </c>
      <c r="C27" s="72" t="n"/>
      <c r="D27" s="72" t="n"/>
      <c r="F27" s="56" t="inlineStr">
        <is>
          <t>Planning hypothesis, not telemetry.</t>
        </is>
      </c>
    </row>
    <row r="28" ht="22" customHeight="1" s="64">
      <c r="A28" t="inlineStr">
        <is>
          <t>Opus cache write tokens / call</t>
        </is>
      </c>
      <c r="B28" s="77" t="n">
        <v>0</v>
      </c>
      <c r="C28" s="72" t="n"/>
      <c r="D28" s="72" t="n"/>
      <c r="F28" s="56" t="inlineStr">
        <is>
          <t>Planning hypothesis; model changes if caching is enabled.</t>
        </is>
      </c>
    </row>
    <row r="29" ht="22" customHeight="1" s="64">
      <c r="A29" t="inlineStr">
        <is>
          <t>Opus cache read tokens / call</t>
        </is>
      </c>
      <c r="B29" s="77" t="n">
        <v>0</v>
      </c>
      <c r="C29" s="72" t="n"/>
      <c r="D29" s="72" t="n"/>
      <c r="F29" s="56" t="inlineStr">
        <is>
          <t>Planning hypothesis; model changes if caching is enabled.</t>
        </is>
      </c>
    </row>
    <row r="30" ht="22" customHeight="1" s="64">
      <c r="A30" t="inlineStr">
        <is>
          <t>Opus output tokens / call</t>
        </is>
      </c>
      <c r="B30" s="77" t="n">
        <v>20000</v>
      </c>
      <c r="C30" s="72" t="n"/>
      <c r="D30" s="72" t="n"/>
      <c r="F30" s="56" t="inlineStr">
        <is>
          <t>Planning hypothesis including reasoning; verify.</t>
        </is>
      </c>
    </row>
    <row r="31" ht="22" customHeight="1" s="64">
      <c r="A31" t="inlineStr">
        <is>
          <t>Opus calls / review run</t>
        </is>
      </c>
      <c r="B31" s="77" t="n">
        <v>2</v>
      </c>
      <c r="C31" s="72" t="n"/>
      <c r="D31" s="72" t="n"/>
      <c r="F31" s="56" t="inlineStr">
        <is>
          <t>Compare and evidence-check; needs architecture trace.</t>
        </is>
      </c>
    </row>
    <row r="32" ht="22" customHeight="1" s="64">
      <c r="A32" t="inlineStr">
        <is>
          <t>Haiku calls / review run</t>
        </is>
      </c>
      <c r="B32" s="77" t="n">
        <v>1</v>
      </c>
      <c r="C32" s="72" t="n"/>
      <c r="D32" s="72" t="n"/>
      <c r="F32" s="56" t="inlineStr">
        <is>
          <t>Measured profile reused as one extraction call.</t>
        </is>
      </c>
    </row>
    <row r="33" ht="22" customHeight="1" s="64">
      <c r="A33" s="25" t="inlineStr">
        <is>
          <t>Calculated Opus cost / call</t>
        </is>
      </c>
      <c r="B33" s="78">
        <f>(B27*B23+B28*B24+B29*B25+B30*B26)/1000000</f>
        <v/>
      </c>
      <c r="C33" s="79" t="n"/>
      <c r="D33" s="79" t="n"/>
      <c r="E33" s="25" t="n"/>
      <c r="F33" s="56" t="n"/>
    </row>
    <row r="34" ht="22" customHeight="1" s="64">
      <c r="A34" s="25" t="inlineStr">
        <is>
          <t>Calculated models cost / run BEFORE retries</t>
        </is>
      </c>
      <c r="B34" s="78">
        <f>B33*B31+B22*B32</f>
        <v/>
      </c>
      <c r="C34" s="79" t="n"/>
      <c r="D34" s="79" t="n"/>
      <c r="E34" s="25" t="n"/>
      <c r="F34" s="56" t="n"/>
    </row>
    <row r="35" ht="22" customHeight="1" s="64">
      <c r="A35" s="25" t="inlineStr">
        <is>
          <t>Calculated models cost / run AFTER retries</t>
        </is>
      </c>
      <c r="B35" s="78">
        <f>B34*(1+B21)</f>
        <v/>
      </c>
      <c r="C35" s="79" t="n"/>
      <c r="D35" s="79" t="n"/>
      <c r="E35" s="25" t="n"/>
      <c r="F35" s="56" t="n"/>
    </row>
    <row r="36" ht="22" customHeight="1" s="64">
      <c r="A36" s="25" t="inlineStr">
        <is>
          <t>Weighted model usage factor</t>
        </is>
      </c>
      <c r="B36" s="79">
        <f>SUMPRODUCT(D40:D42,E40:E42)</f>
        <v/>
      </c>
      <c r="C36" s="79" t="n"/>
      <c r="D36" s="79" t="n"/>
      <c r="E36" s="25" t="n"/>
      <c r="F36" s="56" t="n"/>
    </row>
    <row r="37" ht="22" customHeight="1" s="64">
      <c r="A37" s="26" t="inlineStr">
        <is>
          <t>Model monthly cost (today / 10×)</t>
        </is>
      </c>
      <c r="B37" s="80">
        <f>B19*B20*B35*B36</f>
        <v/>
      </c>
      <c r="C37" s="65" t="n"/>
      <c r="D37" s="80">
        <f>D19*D20*B35*B36</f>
        <v/>
      </c>
      <c r="E37" s="26" t="n"/>
      <c r="F37" s="56" t="inlineStr">
        <is>
          <t>Volume × review runs × cost / run × contract complexity mix.</t>
        </is>
      </c>
    </row>
    <row r="38" ht="26" customHeight="1" s="64">
      <c r="A38" s="23" t="inlineStr">
        <is>
          <t>02 | CONTRACT TYPE MIX &amp; DOCUMENT PROFILES</t>
        </is>
      </c>
      <c r="B38" s="23" t="n"/>
      <c r="C38" s="23" t="n"/>
      <c r="D38" s="23" t="n"/>
      <c r="E38" s="23" t="n"/>
      <c r="F38" s="57" t="n"/>
    </row>
    <row r="39" ht="26" customHeight="1" s="64">
      <c r="A39" s="24" t="inlineStr">
        <is>
          <t>Contract type</t>
        </is>
      </c>
      <c r="B39" s="24" t="inlineStr">
        <is>
          <t>Pages / doc</t>
        </is>
      </c>
      <c r="C39" s="24" t="inlineStr">
        <is>
          <t>Scan ratio</t>
        </is>
      </c>
      <c r="D39" s="24" t="inlineStr">
        <is>
          <t>Model factor</t>
        </is>
      </c>
      <c r="E39" s="24" t="inlineStr">
        <is>
          <t>Portfolio mix</t>
        </is>
      </c>
      <c r="F39" s="24" t="inlineStr">
        <is>
          <t>Mix, lengths and scan shares are planning assumptions.</t>
        </is>
      </c>
    </row>
    <row r="40" ht="22" customHeight="1" s="64">
      <c r="A40" t="inlineStr">
        <is>
          <t>Short NDA</t>
        </is>
      </c>
      <c r="B40" s="77" t="n">
        <v>10</v>
      </c>
      <c r="C40" s="74" t="n">
        <v>0.1</v>
      </c>
      <c r="D40" s="81" t="n">
        <v>0.5</v>
      </c>
      <c r="E40" s="74" t="n">
        <v>0.25</v>
      </c>
      <c r="F40" s="56" t="inlineStr">
        <is>
          <t>Shorter model context and less manual checking.</t>
        </is>
      </c>
    </row>
    <row r="41" ht="22" customHeight="1" s="64">
      <c r="A41" t="inlineStr">
        <is>
          <t>Typical MSA / SOW</t>
        </is>
      </c>
      <c r="B41" s="77" t="n">
        <v>25</v>
      </c>
      <c r="C41" s="74" t="n">
        <v>0.25</v>
      </c>
      <c r="D41" s="81" t="n">
        <v>1</v>
      </c>
      <c r="E41" s="74" t="n">
        <v>0.6</v>
      </c>
      <c r="F41" s="56" t="inlineStr">
        <is>
          <t>Base model token profile.</t>
        </is>
      </c>
    </row>
    <row r="42" ht="22" customHeight="1" s="64">
      <c r="A42" t="inlineStr">
        <is>
          <t>Long / complex</t>
        </is>
      </c>
      <c r="B42" s="77" t="n">
        <v>75</v>
      </c>
      <c r="C42" s="74" t="n">
        <v>0.6</v>
      </c>
      <c r="D42" s="81" t="n">
        <v>3</v>
      </c>
      <c r="E42" s="74" t="n">
        <v>0.15</v>
      </c>
      <c r="F42" s="56" t="inlineStr">
        <is>
          <t>Longer prompts and clauses cost ~3×; verify.</t>
        </is>
      </c>
    </row>
    <row r="43" ht="22" customHeight="1" s="64">
      <c r="A43" s="26" t="inlineStr">
        <is>
          <t>Total contract mix</t>
        </is>
      </c>
      <c r="B43" s="65" t="n"/>
      <c r="C43" s="65" t="n"/>
      <c r="D43" s="65" t="n"/>
      <c r="E43" s="82">
        <f>SUM(E40:E42)</f>
        <v/>
      </c>
      <c r="F43" s="56" t="inlineStr">
        <is>
          <t>Must equal 100%; update short/typical/long shares.</t>
        </is>
      </c>
    </row>
    <row r="44" ht="22" customHeight="1" s="64">
      <c r="A44" s="25" t="inlineStr">
        <is>
          <t>Weighted average pages / contract</t>
        </is>
      </c>
      <c r="B44" s="79">
        <f>SUMPRODUCT(B40:B42,E40:E42)</f>
        <v/>
      </c>
      <c r="C44" s="79" t="n"/>
      <c r="D44" s="79" t="n"/>
      <c r="E44" s="79" t="n"/>
      <c r="F44" s="56" t="n"/>
    </row>
    <row r="45" ht="22" customHeight="1" s="64">
      <c r="A45" s="25" t="inlineStr">
        <is>
          <t>Weighted scanned pages / contract</t>
        </is>
      </c>
      <c r="B45" s="79">
        <f>SUMPRODUCT(B40:B42,C40:C42,E40:E42)</f>
        <v/>
      </c>
      <c r="C45" s="79" t="n"/>
      <c r="D45" s="79" t="n"/>
      <c r="E45" s="79" t="n"/>
      <c r="F45" s="56" t="n"/>
    </row>
    <row r="46" ht="22" customHeight="1" s="64">
      <c r="A46" t="inlineStr">
        <is>
          <t>Short NDA: assisted human minutes</t>
        </is>
      </c>
      <c r="B46" s="77" t="n">
        <v>5</v>
      </c>
      <c r="C46" s="72" t="n"/>
      <c r="D46" s="72" t="n"/>
      <c r="E46" s="72" t="n"/>
      <c r="F46" s="56" t="inlineStr">
        <is>
          <t>Scenario, not measured or client-approved.</t>
        </is>
      </c>
    </row>
    <row r="47" ht="22" customHeight="1" s="64">
      <c r="A47" t="inlineStr">
        <is>
          <t>Typical agreement: assisted human minutes</t>
        </is>
      </c>
      <c r="B47" s="77" t="n">
        <v>15</v>
      </c>
      <c r="C47" s="72" t="n"/>
      <c r="D47" s="72" t="n"/>
      <c r="E47" s="72" t="n"/>
      <c r="F47" s="56" t="inlineStr">
        <is>
          <t>Scenario, not measured or client-approved.</t>
        </is>
      </c>
    </row>
    <row r="48" ht="22" customHeight="1" s="64">
      <c r="A48" t="inlineStr">
        <is>
          <t>Long contract: assisted human minutes</t>
        </is>
      </c>
      <c r="B48" s="77" t="n">
        <v>30</v>
      </c>
      <c r="C48" s="72" t="n"/>
      <c r="D48" s="72" t="n"/>
      <c r="E48" s="72" t="n"/>
      <c r="F48" s="56" t="inlineStr">
        <is>
          <t>Scenario, not measured or client-approved.</t>
        </is>
      </c>
    </row>
    <row r="49" ht="22" customHeight="1" s="64">
      <c r="A49" s="26" t="inlineStr">
        <is>
          <t>Weighted assisted human minutes</t>
        </is>
      </c>
      <c r="B49" s="65">
        <f>SUMPRODUCT(B46:B48,E40:E42)</f>
        <v/>
      </c>
      <c r="C49" s="65" t="n"/>
      <c r="D49" s="65" t="n"/>
      <c r="E49" s="65" t="n"/>
      <c r="F49" s="56" t="n"/>
    </row>
    <row r="50" ht="26" customHeight="1" s="64">
      <c r="A50" s="23" t="inlineStr">
        <is>
          <t>03 | OCR, DOCUMENT PROCESSING &amp; EMBEDDINGS</t>
        </is>
      </c>
      <c r="B50" s="23" t="n"/>
      <c r="C50" s="23" t="n"/>
      <c r="D50" s="23" t="n"/>
      <c r="E50" s="23" t="n"/>
      <c r="F50" s="57" t="n"/>
    </row>
    <row r="51" ht="22" customHeight="1" s="64">
      <c r="A51" t="inlineStr">
        <is>
          <t>Share of scanned pages needing table OCR</t>
        </is>
      </c>
      <c r="B51" s="74" t="n">
        <v>0.1</v>
      </c>
      <c r="F51" s="56" t="inlineStr">
        <is>
          <t>Planning assumption; inspect contract samples.</t>
        </is>
      </c>
    </row>
    <row r="52" ht="22" customHeight="1" s="64">
      <c r="A52" t="inlineStr">
        <is>
          <t>Textract basic text USD / scanned page</t>
        </is>
      </c>
      <c r="B52" s="83" t="n">
        <v>0.0015</v>
      </c>
      <c r="F52" s="56" t="inlineStr">
        <is>
          <t>AWS US-West illustrative list: https://aws.amazon.com/textract/pricing/</t>
        </is>
      </c>
    </row>
    <row r="53" ht="22" customHeight="1" s="64">
      <c r="A53" t="inlineStr">
        <is>
          <t>Textract tables USD / scanned page</t>
        </is>
      </c>
      <c r="B53" s="83" t="n">
        <v>0.015</v>
      </c>
      <c r="F53" s="56" t="inlineStr">
        <is>
          <t>AWS example; verify region, API mode and pricing.</t>
        </is>
      </c>
    </row>
    <row r="54" ht="22" customHeight="1" s="64">
      <c r="A54" t="inlineStr">
        <is>
          <t>Embedding tokens / page</t>
        </is>
      </c>
      <c r="B54" s="77" t="n">
        <v>500</v>
      </c>
      <c r="F54" s="56" t="inlineStr">
        <is>
          <t>Planning approximation; benchmark tokenization/chunks.</t>
        </is>
      </c>
    </row>
    <row r="55" ht="22" customHeight="1" s="64">
      <c r="A55" t="inlineStr">
        <is>
          <t>Embedding USD / 1M tokens</t>
        </is>
      </c>
      <c r="B55" s="52" t="n">
        <v>0.12</v>
      </c>
      <c r="F55" s="56" t="inlineStr">
        <is>
          <t>Voyage pricing: https://docs.voyageai.com/docs/pricing</t>
        </is>
      </c>
    </row>
    <row r="56" ht="22" customHeight="1" s="64">
      <c r="A56" s="25" t="inlineStr">
        <is>
          <t>Calculated OCR cost / review run</t>
        </is>
      </c>
      <c r="B56" s="78">
        <f>B45*((1-B51)*B52+B51*B53)</f>
        <v/>
      </c>
      <c r="C56" s="25" t="n"/>
      <c r="D56" s="25" t="n"/>
      <c r="E56" s="25" t="n"/>
      <c r="F56" s="56" t="n"/>
    </row>
    <row r="57" ht="22" customHeight="1" s="64">
      <c r="A57" s="25" t="inlineStr">
        <is>
          <t>Calculated embedding cost / review run</t>
        </is>
      </c>
      <c r="B57" s="78">
        <f>B44*B54*B55/1000000</f>
        <v/>
      </c>
      <c r="C57" s="25" t="n"/>
      <c r="D57" s="25" t="n"/>
      <c r="E57" s="25" t="n"/>
      <c r="F57" s="56" t="n"/>
    </row>
    <row r="58" ht="22" customHeight="1" s="64">
      <c r="A58" s="26" t="inlineStr">
        <is>
          <t>Monthly OCR + embedding (today / 10×)</t>
        </is>
      </c>
      <c r="B58" s="80">
        <f>B19*B20*(B56+B57)</f>
        <v/>
      </c>
      <c r="C58" s="26" t="n"/>
      <c r="D58" s="80">
        <f>D19*D20*(B56+B57)</f>
        <v/>
      </c>
      <c r="E58" s="26" t="n"/>
      <c r="F58" s="56" t="inlineStr">
        <is>
          <t>Repeated OCR processing assumed per run; conservative until caching is proven.</t>
        </is>
      </c>
    </row>
    <row r="59" ht="26" customHeight="1" s="64">
      <c r="A59" s="23" t="inlineStr">
        <is>
          <t>04 | MONTHLY CLOUD &amp; SECURITY BUDGET</t>
        </is>
      </c>
      <c r="B59" s="23" t="n"/>
      <c r="C59" s="23" t="n"/>
      <c r="D59" s="23" t="n"/>
      <c r="E59" s="23" t="n"/>
      <c r="F59" s="57" t="n"/>
    </row>
    <row r="60" ht="26" customHeight="1" s="64">
      <c r="A60" s="24" t="inlineStr">
        <is>
          <t>Service</t>
        </is>
      </c>
      <c r="B60" s="24" t="inlineStr">
        <is>
          <t>Today low</t>
        </is>
      </c>
      <c r="C60" s="24" t="inlineStr">
        <is>
          <t>Today high</t>
        </is>
      </c>
      <c r="D60" s="24" t="inlineStr">
        <is>
          <t>10× low</t>
        </is>
      </c>
      <c r="E60" s="24" t="inlineStr">
        <is>
          <t>10× high</t>
        </is>
      </c>
      <c r="F60" s="24" t="inlineStr">
        <is>
          <t>Illustrative allocations; replace with AWS and SSO quotes.</t>
        </is>
      </c>
    </row>
    <row r="61" ht="22" customHeight="1" s="64">
      <c r="A61" t="inlineStr">
        <is>
          <t>App compute + queues</t>
        </is>
      </c>
      <c r="B61" s="84" t="n">
        <v>20</v>
      </c>
      <c r="C61" s="84" t="n">
        <v>40</v>
      </c>
      <c r="D61" s="84" t="n">
        <v>50</v>
      </c>
      <c r="E61" s="84" t="n">
        <v>70</v>
      </c>
      <c r="F61" s="56" t="inlineStr">
        <is>
          <t>Server/serverless + job queues.</t>
        </is>
      </c>
    </row>
    <row r="62" ht="22" customHeight="1" s="64">
      <c r="A62" t="inlineStr">
        <is>
          <t>Postgres + vector retrieval</t>
        </is>
      </c>
      <c r="B62" s="84" t="n">
        <v>15</v>
      </c>
      <c r="C62" s="84" t="n">
        <v>25</v>
      </c>
      <c r="D62" s="84" t="n">
        <v>25</v>
      </c>
      <c r="E62" s="84" t="n">
        <v>40</v>
      </c>
      <c r="F62" s="56" t="inlineStr">
        <is>
          <t>Managed database and indexing.</t>
        </is>
      </c>
    </row>
    <row r="63" ht="22" customHeight="1" s="64">
      <c r="A63" t="inlineStr">
        <is>
          <t>S3 / files storage</t>
        </is>
      </c>
      <c r="B63" s="84" t="n">
        <v>1</v>
      </c>
      <c r="C63" s="84" t="n">
        <v>3</v>
      </c>
      <c r="D63" s="84" t="n">
        <v>4</v>
      </c>
      <c r="E63" s="84" t="n">
        <v>10</v>
      </c>
      <c r="F63" s="56" t="inlineStr">
        <is>
          <t>Documents + chunks + archive.</t>
        </is>
      </c>
    </row>
    <row r="64" ht="22" customHeight="1" s="64">
      <c r="A64" t="inlineStr">
        <is>
          <t>Logs + audit event retention</t>
        </is>
      </c>
      <c r="B64" s="84" t="n">
        <v>5</v>
      </c>
      <c r="C64" s="84" t="n">
        <v>10</v>
      </c>
      <c r="D64" s="84" t="n">
        <v>12</v>
      </c>
      <c r="E64" s="84" t="n">
        <v>20</v>
      </c>
      <c r="F64" s="56" t="inlineStr">
        <is>
          <t>Evidence, trace logs, retention.</t>
        </is>
      </c>
    </row>
    <row r="65" ht="22" customHeight="1" s="64">
      <c r="A65" t="inlineStr">
        <is>
          <t>Monitoring and alerts</t>
        </is>
      </c>
      <c r="B65" s="84" t="n">
        <v>5</v>
      </c>
      <c r="C65" s="84" t="n">
        <v>13</v>
      </c>
      <c r="D65" s="84" t="n">
        <v>8</v>
      </c>
      <c r="E65" s="84" t="n">
        <v>16</v>
      </c>
      <c r="F65" s="56" t="inlineStr">
        <is>
          <t>Availability, failure rates, quality alerts.</t>
        </is>
      </c>
    </row>
    <row r="66" ht="22" customHeight="1" s="64">
      <c r="A66" t="inlineStr">
        <is>
          <t>Identity / SSO</t>
        </is>
      </c>
      <c r="B66" s="84" t="n">
        <v>6</v>
      </c>
      <c r="C66" s="84" t="n">
        <v>11</v>
      </c>
      <c r="D66" s="84" t="n">
        <v>10</v>
      </c>
      <c r="E66" s="84" t="n">
        <v>14</v>
      </c>
      <c r="F66" s="56" t="inlineStr">
        <is>
          <t>Four core users initially; validate license needs.</t>
        </is>
      </c>
    </row>
    <row r="67" ht="22" customHeight="1" s="64">
      <c r="A67" t="inlineStr">
        <is>
          <t>Backups and recovery</t>
        </is>
      </c>
      <c r="B67" s="84" t="n">
        <v>5</v>
      </c>
      <c r="C67" s="84" t="n">
        <v>8</v>
      </c>
      <c r="D67" s="84" t="n">
        <v>7</v>
      </c>
      <c r="E67" s="84" t="n">
        <v>10</v>
      </c>
      <c r="F67" s="56" t="inlineStr">
        <is>
          <t>Retention and resilience.</t>
        </is>
      </c>
    </row>
    <row r="68" ht="22" customHeight="1" s="64">
      <c r="A68" t="inlineStr">
        <is>
          <t>Additional resilience / headroom</t>
        </is>
      </c>
      <c r="B68" s="84" t="n">
        <v>3</v>
      </c>
      <c r="C68" s="84" t="n">
        <v>0</v>
      </c>
      <c r="D68" s="84" t="n">
        <v>14</v>
      </c>
      <c r="E68" s="84" t="n">
        <v>20</v>
      </c>
      <c r="F68" s="56" t="inlineStr">
        <is>
          <t>Unallocated margin in illustrative budget.</t>
        </is>
      </c>
    </row>
    <row r="69" ht="22" customHeight="1" s="64">
      <c r="A69" s="26" t="inlineStr">
        <is>
          <t>Cloud infrastructure total</t>
        </is>
      </c>
      <c r="B69" s="80">
        <f>SUM(B61:B68)</f>
        <v/>
      </c>
      <c r="C69" s="80">
        <f>SUM(C61:C68)</f>
        <v/>
      </c>
      <c r="D69" s="80">
        <f>SUM(D61:D68)</f>
        <v/>
      </c>
      <c r="E69" s="80">
        <f>SUM(E61:E68)</f>
        <v/>
      </c>
      <c r="F69" s="56" t="n"/>
    </row>
    <row r="70" ht="26" customHeight="1" s="64">
      <c r="A70" s="23" t="inlineStr">
        <is>
          <t>05 | HUMAN-IN-THE-LOOP ROI &amp; ONGOING SUPPORT</t>
        </is>
      </c>
      <c r="B70" s="85" t="n"/>
      <c r="C70" s="85" t="n"/>
      <c r="D70" s="85" t="n"/>
      <c r="E70" s="85" t="n"/>
      <c r="F70" s="57" t="n"/>
    </row>
    <row r="71" ht="22" customHeight="1" s="64">
      <c r="A71" t="inlineStr">
        <is>
          <t>Additional support hours / month</t>
        </is>
      </c>
      <c r="B71" s="77" t="n">
        <v>8</v>
      </c>
      <c r="C71" s="72" t="n"/>
      <c r="D71" s="77" t="n">
        <v>24</v>
      </c>
      <c r="E71" s="72" t="n"/>
      <c r="F71" s="56" t="inlineStr">
        <is>
          <t>Incremental engineering/admin labor, not review time.</t>
        </is>
      </c>
    </row>
    <row r="72" ht="22" customHeight="1" s="64">
      <c r="A72" t="inlineStr">
        <is>
          <t>Loaded support hourly rate, USD</t>
        </is>
      </c>
      <c r="B72" s="86" t="n">
        <v>35</v>
      </c>
      <c r="C72" s="72" t="n"/>
      <c r="D72" s="86" t="n">
        <v>35</v>
      </c>
      <c r="E72" s="72" t="n"/>
      <c r="F72" s="56" t="inlineStr">
        <is>
          <t>Illustrative rate; validate with AtliQ.</t>
        </is>
      </c>
    </row>
    <row r="73" ht="22" customHeight="1" s="64">
      <c r="A73" s="25" t="inlineStr">
        <is>
          <t>Additional support USD / month</t>
        </is>
      </c>
      <c r="B73" s="87">
        <f>B71*B72</f>
        <v/>
      </c>
      <c r="C73" s="79" t="n"/>
      <c r="D73" s="87">
        <f>D71*D72</f>
        <v/>
      </c>
      <c r="E73" s="79" t="n"/>
      <c r="F73" s="56" t="n"/>
    </row>
    <row r="74" ht="22" customHeight="1" s="64">
      <c r="A74" t="inlineStr">
        <is>
          <t>Human verification min / incoming contract</t>
        </is>
      </c>
      <c r="B74" s="72">
        <f>B49</f>
        <v/>
      </c>
      <c r="C74" s="72" t="n"/>
      <c r="D74" s="72">
        <f>B49</f>
        <v/>
      </c>
      <c r="E74" s="72" t="n"/>
      <c r="F74" s="56" t="n"/>
    </row>
    <row r="75" ht="22" customHeight="1" s="64">
      <c r="A75" s="25" t="inlineStr">
        <is>
          <t>Baseline manual review hours / month</t>
        </is>
      </c>
      <c r="B75" s="88">
        <f>B19*Demo!$B$8</f>
        <v/>
      </c>
      <c r="C75" s="79" t="n"/>
      <c r="D75" s="88">
        <f>D19*Demo!$B$8</f>
        <v/>
      </c>
      <c r="E75" s="79" t="n"/>
      <c r="F75" s="56" t="n"/>
    </row>
    <row r="76" ht="22" customHeight="1" s="64">
      <c r="A76" s="26" t="inlineStr">
        <is>
          <t>Net reviewer hours released / month</t>
        </is>
      </c>
      <c r="B76" s="65">
        <f>B19*MAX(0,Demo!$B$8-B74/60)</f>
        <v/>
      </c>
      <c r="C76" s="65" t="n"/>
      <c r="D76" s="65">
        <f>D19*MAX(0,Demo!$B$8-D74/60)</f>
        <v/>
      </c>
      <c r="E76" s="65" t="n"/>
      <c r="F76" s="56" t="n"/>
    </row>
    <row r="77" ht="22" customHeight="1" s="64">
      <c r="A77" t="inlineStr">
        <is>
          <t>Loaded reviewer capacity rate, USD/hour</t>
        </is>
      </c>
      <c r="B77" s="89" t="n">
        <v>25</v>
      </c>
      <c r="C77" s="72" t="n"/>
      <c r="D77" s="89" t="n">
        <v>25</v>
      </c>
      <c r="E77" s="72" t="n"/>
      <c r="F77" s="56" t="inlineStr">
        <is>
          <t>Illustrative economic value; not cash savings.</t>
        </is>
      </c>
    </row>
    <row r="78" ht="22" customHeight="1" s="64">
      <c r="A78" s="25" t="inlineStr">
        <is>
          <t>Value of reviewer capacity / month</t>
        </is>
      </c>
      <c r="B78" s="87">
        <f>B76*B77</f>
        <v/>
      </c>
      <c r="C78" s="79" t="n"/>
      <c r="D78" s="87">
        <f>D76*D77</f>
        <v/>
      </c>
      <c r="E78" s="79" t="n"/>
      <c r="F78" s="56" t="n"/>
    </row>
    <row r="79" ht="22" customHeight="1" s="64">
      <c r="A79" t="inlineStr">
        <is>
          <t>Verified avoided legal spend / month</t>
        </is>
      </c>
      <c r="B79" s="76" t="n">
        <v>0</v>
      </c>
      <c r="C79" s="72" t="n"/>
      <c r="D79" s="76" t="n">
        <v>0</v>
      </c>
      <c r="E79" s="72" t="n"/>
      <c r="F79" s="56" t="inlineStr">
        <is>
          <t>Zero until historical counsel invoices substantiate.</t>
        </is>
      </c>
    </row>
    <row r="80" ht="22" customHeight="1" s="64">
      <c r="A80" s="26" t="inlineStr">
        <is>
          <t>All-in MONTHLY OPEX including support</t>
        </is>
      </c>
      <c r="B80" s="80">
        <f>B8+B73</f>
        <v/>
      </c>
      <c r="C80" s="80">
        <f>C8+B73</f>
        <v/>
      </c>
      <c r="D80" s="80">
        <f>D8+D73</f>
        <v/>
      </c>
      <c r="E80" s="80">
        <f>E8+D73</f>
        <v/>
      </c>
      <c r="F80" s="56" t="n"/>
    </row>
    <row r="81" ht="22" customHeight="1" s="64">
      <c r="A81" s="26" t="inlineStr">
        <is>
          <t>All-in monthly OPEX: midpoint</t>
        </is>
      </c>
      <c r="B81" s="80">
        <f>AVERAGE(B80:C80)</f>
        <v/>
      </c>
      <c r="C81" s="80" t="n"/>
      <c r="D81" s="80">
        <f>AVERAGE(D80:E80)</f>
        <v/>
      </c>
      <c r="E81" s="80" t="n"/>
      <c r="F81" s="56" t="n"/>
    </row>
    <row r="82" ht="22" customHeight="1" s="64">
      <c r="A82" s="26" t="inlineStr">
        <is>
          <t>Modeled monthly net economic value</t>
        </is>
      </c>
      <c r="B82" s="80">
        <f>B78+B79-B81</f>
        <v/>
      </c>
      <c r="C82" s="80" t="n"/>
      <c r="D82" s="80">
        <f>D78+D79-D81</f>
        <v/>
      </c>
      <c r="E82" s="80" t="n"/>
      <c r="F82" s="56" t="n"/>
    </row>
    <row r="83" ht="22" customHeight="1" s="64">
      <c r="A83" s="25" t="inlineStr">
        <is>
          <t>All-in cost / net hour released</t>
        </is>
      </c>
      <c r="B83" s="87">
        <f>IF(B76&gt;0,B81/B76,0)</f>
        <v/>
      </c>
      <c r="C83" s="79" t="n"/>
      <c r="D83" s="87">
        <f>IF(D76&gt;0,D81/D76,0)</f>
        <v/>
      </c>
      <c r="E83" s="79" t="n"/>
      <c r="F83" s="56" t="n"/>
    </row>
    <row r="84" ht="26" customHeight="1" s="64">
      <c r="A84" s="23" t="inlineStr">
        <is>
          <t>06 | COST PER CONTRACT</t>
        </is>
      </c>
      <c r="B84" s="85" t="n"/>
      <c r="C84" s="85" t="n"/>
      <c r="D84" s="85" t="n"/>
      <c r="E84" s="85" t="n"/>
      <c r="F84" s="85" t="n"/>
    </row>
    <row r="85" ht="22" customHeight="1" s="64">
      <c r="A85" s="25" t="inlineStr">
        <is>
          <t>Monthly ALL-IN OPEX / contract</t>
        </is>
      </c>
      <c r="B85" s="87">
        <f>IF(B19&gt;0,B81/B19,0)</f>
        <v/>
      </c>
      <c r="C85" s="79" t="n"/>
      <c r="D85" s="87">
        <f>IF(D19&gt;0,D81/D19,0)</f>
        <v/>
      </c>
      <c r="E85" s="79" t="n"/>
      <c r="F85" s="72" t="n"/>
    </row>
    <row r="86" ht="27" customHeight="1" s="64">
      <c r="A86" s="55" t="inlineStr">
        <is>
          <t>• Opus token workload is a planning assumption; verify it against measured usage.</t>
        </is>
      </c>
      <c r="B86" s="55" t="n"/>
      <c r="C86" s="55" t="n"/>
      <c r="D86" s="55" t="n"/>
      <c r="E86" s="55" t="n"/>
      <c r="F86" s="55" t="n"/>
    </row>
    <row r="87" ht="27" customHeight="1" s="64">
      <c r="A87" s="55" t="inlineStr">
        <is>
          <t>• Net capacity value assumes the released CEO/reviewer time can be redeployed. This does not represent booked cash profit.</t>
        </is>
      </c>
      <c r="B87" s="55" t="n"/>
      <c r="C87" s="55" t="n"/>
      <c r="D87" s="55" t="n"/>
      <c r="E87" s="55" t="n"/>
      <c r="F87" s="55" t="n"/>
    </row>
    <row r="88" ht="27" customHeight="1" s="64">
      <c r="A88" s="55" t="inlineStr">
        <is>
          <t>• Contract risk reduction, avoided penalties and counsel savings are excluded unless supported by observed data.</t>
        </is>
      </c>
      <c r="B88" s="55" t="n"/>
      <c r="C88" s="55" t="n"/>
      <c r="D88" s="55" t="n"/>
      <c r="E88" s="55" t="n"/>
      <c r="F88" s="55" t="n"/>
    </row>
    <row r="89" s="64"/>
    <row r="90" s="64"/>
    <row r="91" s="64"/>
    <row r="92" s="64"/>
    <row r="93" s="64"/>
    <row r="94" s="64"/>
    <row r="95" s="64"/>
    <row r="96" s="64"/>
    <row r="97" s="64"/>
    <row r="98" s="64"/>
    <row r="99" s="64"/>
    <row r="100" s="64"/>
    <row r="101" s="64"/>
    <row r="102" s="64"/>
    <row r="103" s="64"/>
    <row r="104" s="64"/>
    <row r="105" s="64"/>
    <row r="106" s="64"/>
    <row r="107" s="64"/>
    <row r="108" s="6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2026-10-14T10:12:16Z</dcterms:created>
  <dcterms:modified xsi:type="dcterms:W3CDTF">2026-10-14T10:12:16Z</dcterms:modified>
  <cp:lastModifiedBy>Vijayeta Meher</cp:lastModifiedBy>
</cp:coreProperties>
</file>